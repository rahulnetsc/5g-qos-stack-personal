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ssible-Load Sweep" sheetId="1" r:id="rId4"/>
  </sheets>
  <definedNames/>
  <calcPr/>
  <extLst>
    <ext uri="GoogleSheetsCustomDataVersion2">
      <go:sheetsCustomData xmlns:go="http://customooxmlschemas.google.com/" r:id="rId5" roundtripDataChecksum="jmHUVRS699FwCTxfspSutkCVoH9y75cxSlYFFjQT+j4="/>
    </ext>
  </extLst>
</workbook>
</file>

<file path=xl/sharedStrings.xml><?xml version="1.0" encoding="utf-8"?>
<sst xmlns="http://schemas.openxmlformats.org/spreadsheetml/2006/main" count="37" uniqueCount="23">
  <si>
    <t>Two-UE Admissible-Load Sweep — Original vs Two-tier (UL, 5QI1, 3 runs/pt)</t>
  </si>
  <si>
    <t>Metric: worse-of-two-UE p99 (ms). PASS = worse p99&lt;100ms AND both loss=0 AND overlap&gt;85%, all 3 runs. C_UL=40Mbps.</t>
  </si>
  <si>
    <t>Point</t>
  </si>
  <si>
    <t>Load %</t>
  </si>
  <si>
    <t>Orig p99 (med)</t>
  </si>
  <si>
    <t>Orig</t>
  </si>
  <si>
    <t>TT p99 (med)</t>
  </si>
  <si>
    <t>TT</t>
  </si>
  <si>
    <t>Note</t>
  </si>
  <si>
    <t>P1</t>
  </si>
  <si>
    <t>PASS</t>
  </si>
  <si>
    <t>both PASS</t>
  </si>
  <si>
    <t>P2</t>
  </si>
  <si>
    <t>P3</t>
  </si>
  <si>
    <t>P4</t>
  </si>
  <si>
    <t>P5</t>
  </si>
  <si>
    <t>both PASS (tt ovlp 87%)</t>
  </si>
  <si>
    <t>P6</t>
  </si>
  <si>
    <t>FAIL*</t>
  </si>
  <si>
    <t>orig PASS; tt FAIL=overlap 40% artifact, real p99 12-16ms</t>
  </si>
  <si>
    <t>RESULT: Both schedulers admit ≥145% offered load (through P6) at 0% loss, worse-of-two p99 well under the 100ms bound. The two-tier P6 'FAIL' is a capture-overlap artifact (UEs desynced to 40%, one spurious 786ms), NOT a scheduling failure — its valid runs show 12–16ms. Conclusion: at N=2 UEs over this load range, the two schedulers are equivalent on admissible load; neither breaks. Per IA-P5G §9, if admissible load ties, go to N=3, or report the fairness (Jain) metric as the differentiator.</t>
  </si>
  <si>
    <t>Original</t>
  </si>
  <si>
    <t>Two-tier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</si>
</sst>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F4E79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5496"/>
        <bgColor rgb="FF2E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3" fontId="4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Worse-of-two p99 vs offered load</a:t>
            </a:r>
          </a:p>
        </c:rich>
      </c:tx>
      <c:overlay val="0"/>
    </c:title>
    <c:plotArea>
      <c:layout/>
      <c:lineChart>
        <c:ser>
          <c:idx val="0"/>
          <c:order val="0"/>
          <c:tx>
            <c:v>Original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'Admissible-Load Sweep'!$A$31:$A$36</c:f>
            </c:strRef>
          </c:cat>
          <c:val>
            <c:numRef>
              <c:f>'Admissible-Load Sweep'!$B$31:$B$36</c:f>
              <c:numCache/>
            </c:numRef>
          </c:val>
          <c:smooth val="1"/>
        </c:ser>
        <c:ser>
          <c:idx val="1"/>
          <c:order val="1"/>
          <c:tx>
            <c:v>Two-tier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'Admissible-Load Sweep'!$A$31:$A$36</c:f>
            </c:strRef>
          </c:cat>
          <c:val>
            <c:numRef>
              <c:f>'Admissible-Load Sweep'!$C$31:$C$36</c:f>
              <c:numCache/>
            </c:numRef>
          </c:val>
          <c:smooth val="1"/>
        </c:ser>
        <c:axId val="519954571"/>
        <c:axId val="1737887085"/>
      </c:lineChart>
      <c:catAx>
        <c:axId val="519954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load % of C_UL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7887085"/>
      </c:catAx>
      <c:valAx>
        <c:axId val="1737887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p99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995457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17</xdr:row>
      <xdr:rowOff>180975</xdr:rowOff>
    </xdr:from>
    <xdr:ext cx="5124450" cy="3038475"/>
    <xdr:graphicFrame>
      <xdr:nvGraphicFramePr>
        <xdr:cNvPr id="145017423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7" width="13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4">
        <v>45.0</v>
      </c>
      <c r="C5" s="4">
        <v>67.25</v>
      </c>
      <c r="D5" s="5" t="s">
        <v>10</v>
      </c>
      <c r="E5" s="4">
        <v>63.13</v>
      </c>
      <c r="F5" s="5" t="s">
        <v>10</v>
      </c>
      <c r="G5" s="6" t="s">
        <v>11</v>
      </c>
    </row>
    <row r="6">
      <c r="A6" s="4" t="s">
        <v>12</v>
      </c>
      <c r="B6" s="4">
        <v>70.0</v>
      </c>
      <c r="C6" s="4">
        <v>31.88</v>
      </c>
      <c r="D6" s="5" t="s">
        <v>10</v>
      </c>
      <c r="E6" s="4">
        <v>24.36</v>
      </c>
      <c r="F6" s="5" t="s">
        <v>10</v>
      </c>
      <c r="G6" s="6" t="s">
        <v>11</v>
      </c>
    </row>
    <row r="7">
      <c r="A7" s="4" t="s">
        <v>13</v>
      </c>
      <c r="B7" s="4">
        <v>90.0</v>
      </c>
      <c r="C7" s="4">
        <v>15.59</v>
      </c>
      <c r="D7" s="5" t="s">
        <v>10</v>
      </c>
      <c r="E7" s="4">
        <v>16.7</v>
      </c>
      <c r="F7" s="5" t="s">
        <v>10</v>
      </c>
      <c r="G7" s="6" t="s">
        <v>11</v>
      </c>
    </row>
    <row r="8">
      <c r="A8" s="4" t="s">
        <v>14</v>
      </c>
      <c r="B8" s="4">
        <v>105.0</v>
      </c>
      <c r="C8" s="4">
        <v>14.73</v>
      </c>
      <c r="D8" s="5" t="s">
        <v>10</v>
      </c>
      <c r="E8" s="4">
        <v>15.26</v>
      </c>
      <c r="F8" s="5" t="s">
        <v>10</v>
      </c>
      <c r="G8" s="6" t="s">
        <v>11</v>
      </c>
    </row>
    <row r="9">
      <c r="A9" s="4" t="s">
        <v>15</v>
      </c>
      <c r="B9" s="4">
        <v>125.0</v>
      </c>
      <c r="C9" s="4">
        <v>12.98</v>
      </c>
      <c r="D9" s="5" t="s">
        <v>10</v>
      </c>
      <c r="E9" s="4">
        <v>12.99</v>
      </c>
      <c r="F9" s="5" t="s">
        <v>10</v>
      </c>
      <c r="G9" s="6" t="s">
        <v>16</v>
      </c>
    </row>
    <row r="10">
      <c r="A10" s="4" t="s">
        <v>17</v>
      </c>
      <c r="B10" s="4">
        <v>145.0</v>
      </c>
      <c r="C10" s="4">
        <v>33.09</v>
      </c>
      <c r="D10" s="5" t="s">
        <v>10</v>
      </c>
      <c r="E10" s="4">
        <v>15.9</v>
      </c>
      <c r="F10" s="7" t="s">
        <v>18</v>
      </c>
      <c r="G10" s="6" t="s">
        <v>19</v>
      </c>
    </row>
    <row r="12" ht="15.0" customHeight="1">
      <c r="A12" s="8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9" t="s">
        <v>3</v>
      </c>
      <c r="B30" s="9" t="s">
        <v>21</v>
      </c>
      <c r="C30" s="9" t="s">
        <v>22</v>
      </c>
    </row>
    <row r="31" ht="15.75" customHeight="1">
      <c r="A31" s="10">
        <v>45.0</v>
      </c>
      <c r="B31" s="10">
        <v>67.25</v>
      </c>
      <c r="C31" s="10">
        <v>63.13</v>
      </c>
    </row>
    <row r="32" ht="15.75" customHeight="1">
      <c r="A32" s="10">
        <v>70.0</v>
      </c>
      <c r="B32" s="10">
        <v>31.88</v>
      </c>
      <c r="C32" s="10">
        <v>24.36</v>
      </c>
    </row>
    <row r="33" ht="15.75" customHeight="1">
      <c r="A33" s="10">
        <v>90.0</v>
      </c>
      <c r="B33" s="10">
        <v>15.59</v>
      </c>
      <c r="C33" s="10">
        <v>16.7</v>
      </c>
    </row>
    <row r="34" ht="15.75" customHeight="1">
      <c r="A34" s="10">
        <v>105.0</v>
      </c>
      <c r="B34" s="10">
        <v>14.73</v>
      </c>
      <c r="C34" s="10">
        <v>15.26</v>
      </c>
    </row>
    <row r="35" ht="15.75" customHeight="1">
      <c r="A35" s="10">
        <v>125.0</v>
      </c>
      <c r="B35" s="10">
        <v>12.98</v>
      </c>
      <c r="C35" s="10">
        <v>12.99</v>
      </c>
    </row>
    <row r="36" ht="15.75" customHeight="1">
      <c r="A36" s="10">
        <v>145.0</v>
      </c>
      <c r="B36" s="10">
        <v>33.09</v>
      </c>
      <c r="C36" s="10">
        <v>15.9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G1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2026-08-14T11:58:02Z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